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Annual Data" sheetId="2" state="visible" r:id="rId2"/>
    <sheet xmlns:r="http://schemas.openxmlformats.org/officeDocument/2006/relationships" name="Company Profi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9">
    <font>
      <name val="Calibri"/>
      <family val="2"/>
      <color theme="1"/>
      <sz val="11"/>
      <scheme val="minor"/>
    </font>
    <font>
      <name val="Arial"/>
      <b val="1"/>
      <color rgb="00FFFFFF"/>
      <sz val="17"/>
    </font>
    <font>
      <name val="Arial"/>
      <i val="1"/>
      <color rgb="005A7A9E"/>
      <sz val="9"/>
    </font>
    <font>
      <name val="Arial"/>
      <b val="1"/>
      <color rgb="00FFFFFF"/>
      <sz val="14"/>
    </font>
    <font>
      <name val="Arial"/>
      <color rgb="00E2EAF8"/>
      <sz val="8"/>
    </font>
    <font>
      <name val="Arial"/>
      <i val="1"/>
      <color rgb="003B82F6"/>
      <sz val="8"/>
    </font>
    <font>
      <name val="Arial"/>
      <i val="1"/>
      <color rgb="0014B8A6"/>
      <sz val="8"/>
    </font>
    <font>
      <name val="Arial"/>
      <i val="1"/>
      <color rgb="0022C55E"/>
      <sz val="8"/>
    </font>
    <font>
      <name val="Arial"/>
      <i val="1"/>
      <color rgb="00F59E0B"/>
      <sz val="8"/>
    </font>
    <font>
      <name val="Arial"/>
      <i val="1"/>
      <color rgb="00A78BFA"/>
      <sz val="8"/>
    </font>
    <font>
      <name val="Arial"/>
      <i val="1"/>
      <color rgb="006366F1"/>
      <sz val="8"/>
    </font>
    <font>
      <name val="Arial"/>
      <b val="1"/>
      <color rgb="003B82F6"/>
      <sz val="10"/>
    </font>
    <font>
      <name val="Arial"/>
      <b val="1"/>
      <color rgb="0022C55E"/>
      <sz val="10"/>
    </font>
    <font>
      <name val="Arial"/>
      <b val="1"/>
      <color rgb="0014B8A6"/>
      <sz val="10"/>
    </font>
    <font>
      <name val="Arial"/>
      <b val="1"/>
      <color rgb="00A78BFA"/>
      <sz val="10"/>
    </font>
    <font>
      <name val="Arial"/>
      <b val="1"/>
      <color rgb="00F59E0B"/>
      <sz val="10"/>
    </font>
    <font>
      <name val="Arial"/>
      <b val="1"/>
      <color rgb="00E2EAF8"/>
      <sz val="9"/>
    </font>
    <font>
      <name val="Arial"/>
      <b val="1"/>
      <color rgb="00EF4444"/>
      <sz val="10"/>
    </font>
    <font>
      <name val="Arial"/>
      <i val="1"/>
      <color rgb="00EF4444"/>
      <sz val="8"/>
    </font>
    <font>
      <name val="Arial"/>
      <color rgb="00E2EAF8"/>
      <sz val="9"/>
    </font>
    <font>
      <name val="Arial"/>
      <i val="1"/>
      <color rgb="005A7A9E"/>
      <sz val="8"/>
    </font>
    <font>
      <name val="Arial"/>
      <b val="1"/>
      <color rgb="00FFFFFF"/>
      <sz val="13"/>
    </font>
    <font>
      <name val="Arial"/>
      <b val="1"/>
      <color rgb="003B82F6"/>
      <sz val="9"/>
    </font>
    <font>
      <name val="Arial"/>
      <b val="1"/>
      <color rgb="0014B8A6"/>
      <sz val="9"/>
    </font>
    <font>
      <name val="Arial"/>
      <color rgb="005A7A9E"/>
      <sz val="9"/>
    </font>
    <font>
      <name val="Arial"/>
      <b val="1"/>
      <color rgb="00EF4444"/>
      <sz val="9"/>
    </font>
    <font>
      <name val="Arial"/>
      <b val="1"/>
      <color rgb="0022C55E"/>
      <sz val="9"/>
    </font>
    <font>
      <name val="Arial"/>
      <b val="1"/>
      <color rgb="00F59E0B"/>
      <sz val="9"/>
    </font>
    <font>
      <name val="Arial"/>
      <b val="1"/>
      <color rgb="005A7A9E"/>
      <sz val="9"/>
    </font>
  </fonts>
  <fills count="11">
    <fill>
      <patternFill/>
    </fill>
    <fill>
      <patternFill patternType="gray125"/>
    </fill>
    <fill>
      <patternFill patternType="solid">
        <fgColor rgb="000A0E1A"/>
      </patternFill>
    </fill>
    <fill>
      <patternFill patternType="solid">
        <fgColor rgb="000F1623"/>
      </patternFill>
    </fill>
    <fill>
      <patternFill patternType="solid">
        <fgColor rgb="003B82F6"/>
      </patternFill>
    </fill>
    <fill>
      <patternFill patternType="solid">
        <fgColor rgb="00141D2E"/>
      </patternFill>
    </fill>
    <fill>
      <patternFill patternType="solid">
        <fgColor rgb="0014B8A6"/>
      </patternFill>
    </fill>
    <fill>
      <patternFill patternType="solid">
        <fgColor rgb="0022C55E"/>
      </patternFill>
    </fill>
    <fill>
      <patternFill patternType="solid">
        <fgColor rgb="00F59E0B"/>
      </patternFill>
    </fill>
    <fill>
      <patternFill patternType="solid">
        <fgColor rgb="00A78BFA"/>
      </patternFill>
    </fill>
    <fill>
      <patternFill patternType="solid">
        <fgColor rgb="00636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0" fillId="2" borderId="0" pivotButton="0" quotePrefix="0" xfId="0"/>
    <xf numFmtId="0" fontId="1" fillId="3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0" fillId="4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3" fillId="5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center" vertical="center"/>
    </xf>
    <xf numFmtId="0" fontId="9" fillId="5" borderId="0" applyAlignment="1" pivotButton="0" quotePrefix="0" xfId="0">
      <alignment horizontal="center" vertical="center"/>
    </xf>
    <xf numFmtId="0" fontId="10" fillId="5" borderId="0" applyAlignment="1" pivotButton="0" quotePrefix="0" xfId="0">
      <alignment horizontal="center" vertical="center"/>
    </xf>
    <xf numFmtId="0" fontId="11" fillId="2" borderId="0" applyAlignment="1" pivotButton="0" quotePrefix="0" xfId="0">
      <alignment horizontal="left" vertical="center"/>
    </xf>
    <xf numFmtId="0" fontId="12" fillId="2" borderId="0" applyAlignment="1" pivotButton="0" quotePrefix="0" xfId="0">
      <alignment horizontal="left" vertical="center"/>
    </xf>
    <xf numFmtId="0" fontId="13" fillId="2" borderId="0" applyAlignment="1" pivotButton="0" quotePrefix="0" xfId="0">
      <alignment horizontal="left" vertical="center"/>
    </xf>
    <xf numFmtId="0" fontId="14" fillId="2" borderId="0" applyAlignment="1" pivotButton="0" quotePrefix="0" xfId="0">
      <alignment horizontal="left" vertical="center"/>
    </xf>
    <xf numFmtId="0" fontId="15" fillId="2" borderId="0" applyAlignment="1" pivotButton="0" quotePrefix="0" xfId="0">
      <alignment horizontal="left" vertical="center"/>
    </xf>
    <xf numFmtId="0" fontId="16" fillId="5" borderId="0" applyAlignment="1" pivotButton="0" quotePrefix="0" xfId="0">
      <alignment horizontal="left" vertical="center"/>
    </xf>
    <xf numFmtId="0" fontId="12" fillId="5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left" vertical="center"/>
    </xf>
    <xf numFmtId="0" fontId="19" fillId="5" borderId="0" applyAlignment="1" pivotButton="0" quotePrefix="0" xfId="0">
      <alignment horizontal="left" vertical="center"/>
    </xf>
    <xf numFmtId="0" fontId="13" fillId="5" borderId="0" applyAlignment="1" pivotButton="0" quotePrefix="0" xfId="0">
      <alignment horizontal="center" vertical="center"/>
    </xf>
    <xf numFmtId="0" fontId="0" fillId="5" borderId="0" pivotButton="0" quotePrefix="0" xfId="0"/>
    <xf numFmtId="0" fontId="16" fillId="3" borderId="0" applyAlignment="1" pivotButton="0" quotePrefix="0" xfId="0">
      <alignment horizontal="left" vertical="center"/>
    </xf>
    <xf numFmtId="0" fontId="17" fillId="3" borderId="0" applyAlignment="1" pivotButton="0" quotePrefix="0" xfId="0">
      <alignment horizontal="center" vertical="center"/>
    </xf>
    <xf numFmtId="0" fontId="18" fillId="3" borderId="0" applyAlignment="1" pivotButton="0" quotePrefix="0" xfId="0">
      <alignment horizontal="left" vertical="center"/>
    </xf>
    <xf numFmtId="0" fontId="19" fillId="3" borderId="0" applyAlignment="1" pivotButton="0" quotePrefix="0" xfId="0">
      <alignment horizontal="left" vertical="center"/>
    </xf>
    <xf numFmtId="0" fontId="13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12" fillId="3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left" vertical="center"/>
    </xf>
    <xf numFmtId="0" fontId="15" fillId="5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left" vertical="center"/>
    </xf>
    <xf numFmtId="0" fontId="20" fillId="3" borderId="0" applyAlignment="1" pivotButton="0" quotePrefix="0" xfId="0">
      <alignment horizontal="center" vertical="center"/>
    </xf>
    <xf numFmtId="0" fontId="21" fillId="3" borderId="0" applyAlignment="1" pivotButton="0" quotePrefix="0" xfId="0">
      <alignment horizontal="left" vertical="center"/>
    </xf>
    <xf numFmtId="0" fontId="11" fillId="5" borderId="0" applyAlignment="1" pivotButton="0" quotePrefix="0" xfId="0">
      <alignment horizontal="center" vertical="center"/>
    </xf>
    <xf numFmtId="0" fontId="22" fillId="5" borderId="0" applyAlignment="1" pivotButton="0" quotePrefix="0" xfId="0">
      <alignment horizontal="left" vertical="center"/>
    </xf>
    <xf numFmtId="3" fontId="19" fillId="3" borderId="0" applyAlignment="1" pivotButton="0" quotePrefix="0" xfId="0">
      <alignment horizontal="center" vertical="center"/>
    </xf>
    <xf numFmtId="0" fontId="19" fillId="2" borderId="0" applyAlignment="1" pivotButton="0" quotePrefix="0" xfId="0">
      <alignment horizontal="left" vertical="center"/>
    </xf>
    <xf numFmtId="3" fontId="19" fillId="2" borderId="0" applyAlignment="1" pivotButton="0" quotePrefix="0" xfId="0">
      <alignment horizontal="center" vertical="center"/>
    </xf>
    <xf numFmtId="164" fontId="23" fillId="2" borderId="0" applyAlignment="1" pivotButton="0" quotePrefix="0" xfId="0">
      <alignment horizontal="center" vertical="center"/>
    </xf>
    <xf numFmtId="164" fontId="23" fillId="3" borderId="0" applyAlignment="1" pivotButton="0" quotePrefix="0" xfId="0">
      <alignment horizontal="center" vertical="center"/>
    </xf>
    <xf numFmtId="0" fontId="24" fillId="3" borderId="0" applyAlignment="1" pivotButton="0" quotePrefix="0" xfId="0">
      <alignment horizontal="center" vertical="center"/>
    </xf>
    <xf numFmtId="164" fontId="25" fillId="3" borderId="0" applyAlignment="1" pivotButton="0" quotePrefix="0" xfId="0">
      <alignment horizontal="center" vertical="center"/>
    </xf>
    <xf numFmtId="164" fontId="26" fillId="3" borderId="0" applyAlignment="1" pivotButton="0" quotePrefix="0" xfId="0">
      <alignment horizontal="center" vertical="center"/>
    </xf>
    <xf numFmtId="0" fontId="24" fillId="5" borderId="0" applyAlignment="1" pivotButton="0" quotePrefix="0" xfId="0">
      <alignment horizontal="left" vertical="center"/>
    </xf>
    <xf numFmtId="0" fontId="26" fillId="5" borderId="0" applyAlignment="1" pivotButton="0" quotePrefix="0" xfId="0">
      <alignment horizontal="left" vertical="center"/>
    </xf>
    <xf numFmtId="0" fontId="24" fillId="3" borderId="0" applyAlignment="1" pivotButton="0" quotePrefix="0" xfId="0">
      <alignment horizontal="left" vertical="center"/>
    </xf>
    <xf numFmtId="0" fontId="22" fillId="3" borderId="0" applyAlignment="1" pivotButton="0" quotePrefix="0" xfId="0">
      <alignment horizontal="left" vertical="center"/>
    </xf>
    <xf numFmtId="0" fontId="27" fillId="3" borderId="0" applyAlignment="1" pivotButton="0" quotePrefix="0" xfId="0">
      <alignment horizontal="left" vertical="center"/>
    </xf>
    <xf numFmtId="0" fontId="27" fillId="5" borderId="0" applyAlignment="1" pivotButton="0" quotePrefix="0" xfId="0">
      <alignment horizontal="left" vertical="center"/>
    </xf>
    <xf numFmtId="0" fontId="26" fillId="3" borderId="0" applyAlignment="1" pivotButton="0" quotePrefix="0" xfId="0">
      <alignment horizontal="left" vertical="center"/>
    </xf>
    <xf numFmtId="0" fontId="23" fillId="5" borderId="0" applyAlignment="1" pivotButton="0" quotePrefix="0" xfId="0">
      <alignment horizontal="left" vertical="center"/>
    </xf>
    <xf numFmtId="0" fontId="23" fillId="3" borderId="0" applyAlignment="1" pivotButton="0" quotePrefix="0" xfId="0">
      <alignment horizontal="left" vertical="center"/>
    </xf>
    <xf numFmtId="0" fontId="25" fillId="3" borderId="0" applyAlignment="1" pivotButton="0" quotePrefix="0" xfId="0">
      <alignment horizontal="left" vertical="center"/>
    </xf>
    <xf numFmtId="0" fontId="25" fillId="5" borderId="0" applyAlignment="1" pivotButton="0" quotePrefix="0" xfId="0">
      <alignment horizontal="left" vertical="center"/>
    </xf>
    <xf numFmtId="0" fontId="28" fillId="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2"/>
  <chart>
    <plotArea>
      <barChart>
        <barDir val="col"/>
        <grouping val="clustered"/>
        <ser>
          <idx val="0"/>
          <order val="0"/>
          <tx>
            <strRef>
              <f>'Dashboard'!K11</f>
            </strRef>
          </tx>
          <spPr>
            <a:solidFill xmlns:a="http://schemas.openxmlformats.org/drawingml/2006/main">
              <a:srgbClr val="FF3B82F6"/>
            </a:solidFill>
            <a:ln xmlns:a="http://schemas.openxmlformats.org/drawingml/2006/main">
              <a:prstDash val="solid"/>
            </a:ln>
          </spPr>
          <cat>
            <numRef>
              <f>'Dashboard'!$J$12:$J$16</f>
            </numRef>
          </cat>
          <val>
            <numRef>
              <f>'Dashboard'!$K$12:$K$16</f>
            </numRef>
          </val>
        </ser>
        <ser>
          <idx val="1"/>
          <order val="1"/>
          <tx>
            <strRef>
              <f>'Dashboard'!L11</f>
            </strRef>
          </tx>
          <spPr>
            <a:solidFill xmlns:a="http://schemas.openxmlformats.org/drawingml/2006/main">
              <a:srgbClr val="FF14B8A6"/>
            </a:solidFill>
            <a:ln xmlns:a="http://schemas.openxmlformats.org/drawingml/2006/main">
              <a:prstDash val="solid"/>
            </a:ln>
          </spPr>
          <cat>
            <numRef>
              <f>'Dashboard'!$J$12:$J$16</f>
            </numRef>
          </cat>
          <val>
            <numRef>
              <f>'Dashboard'!$L$12:$L$16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tx>
            <strRef>
              <f>'Dashboard'!N11</f>
            </strRef>
          </tx>
          <spPr>
            <a:ln xmlns:a="http://schemas.openxmlformats.org/drawingml/2006/main" w="25000">
              <a:solidFill>
                <a:srgbClr val="FF22C55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'Dashboard'!$J$12:$J$16</f>
            </numRef>
          </cat>
          <val>
            <numRef>
              <f>'Dashboard'!$N$12:$N$16</f>
            </numRef>
          </val>
          <smooth val="1"/>
        </ser>
        <ser>
          <idx val="1"/>
          <order val="1"/>
          <tx>
            <strRef>
              <f>'Dashboard'!O11</f>
            </strRef>
          </tx>
          <spPr>
            <a:ln xmlns:a="http://schemas.openxmlformats.org/drawingml/2006/main" w="25000">
              <a:solidFill>
                <a:srgbClr val="FF3B82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'Dashboard'!$J$12:$J$16</f>
            </numRef>
          </cat>
          <val>
            <numRef>
              <f>'Dashboard'!$O$12:$O$16</f>
            </numRef>
          </val>
          <smooth val="1"/>
        </ser>
        <ser>
          <idx val="2"/>
          <order val="2"/>
          <tx>
            <strRef>
              <f>'Dashboard'!P11</f>
            </strRef>
          </tx>
          <spPr>
            <a:ln xmlns:a="http://schemas.openxmlformats.org/drawingml/2006/main" w="25000">
              <a:solidFill>
                <a:srgbClr val="FFA78BF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'Dashboard'!$J$12:$J$16</f>
            </numRef>
          </cat>
          <val>
            <numRef>
              <f>'Dashboard'!$P$12:$P$16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.xml><?xml version="1.0" encoding="utf-8"?>
<chartSpace xmlns="http://schemas.openxmlformats.org/drawingml/2006/chart">
  <style val="2"/>
  <chart>
    <plotArea>
      <barChart>
        <barDir val="col"/>
        <grouping val="clustered"/>
        <ser>
          <idx val="0"/>
          <order val="0"/>
          <tx>
            <strRef>
              <f>'Dashboard'!Q11</f>
            </strRef>
          </tx>
          <spPr>
            <a:solidFill xmlns:a="http://schemas.openxmlformats.org/drawingml/2006/main">
              <a:srgbClr val="FF14B8A6"/>
            </a:solidFill>
            <a:ln xmlns:a="http://schemas.openxmlformats.org/drawingml/2006/main">
              <a:prstDash val="solid"/>
            </a:ln>
          </spPr>
          <cat>
            <numRef>
              <f>'Dashboard'!$J$12:$J$16</f>
            </numRef>
          </cat>
          <val>
            <numRef>
              <f>'Dashboard'!$Q$12:$Q$16</f>
            </numRef>
          </val>
        </ser>
        <ser>
          <idx val="1"/>
          <order val="1"/>
          <tx>
            <strRef>
              <f>'Dashboard'!R11</f>
            </strRef>
          </tx>
          <spPr>
            <a:solidFill xmlns:a="http://schemas.openxmlformats.org/drawingml/2006/main">
              <a:srgbClr val="FFF59E0B"/>
            </a:solidFill>
            <a:ln xmlns:a="http://schemas.openxmlformats.org/drawingml/2006/main">
              <a:prstDash val="solid"/>
            </a:ln>
          </spPr>
          <cat>
            <numRef>
              <f>'Dashboard'!$J$12:$J$16</f>
            </numRef>
          </cat>
          <val>
            <numRef>
              <f>'Dashboard'!$R$12:$R$16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.xml><?xml version="1.0" encoding="utf-8"?>
<chartSpace xmlns="http://schemas.openxmlformats.org/drawingml/2006/chart">
  <style val="2"/>
  <chart>
    <plotArea>
      <barChart>
        <barDir val="col"/>
        <grouping val="stacked"/>
        <ser>
          <idx val="0"/>
          <order val="0"/>
          <tx>
            <strRef>
              <f>'Dashboard'!S11</f>
            </strRef>
          </tx>
          <spPr>
            <a:solidFill xmlns:a="http://schemas.openxmlformats.org/drawingml/2006/main">
              <a:srgbClr val="FFEF4444"/>
            </a:solidFill>
            <a:ln xmlns:a="http://schemas.openxmlformats.org/drawingml/2006/main">
              <a:prstDash val="solid"/>
            </a:ln>
          </spPr>
          <cat>
            <numRef>
              <f>'Dashboard'!$J$12:$J$16</f>
            </numRef>
          </cat>
          <val>
            <numRef>
              <f>'Dashboard'!$S$12:$S$16</f>
            </numRef>
          </val>
        </ser>
        <ser>
          <idx val="1"/>
          <order val="1"/>
          <tx>
            <strRef>
              <f>'Dashboard'!T11</f>
            </strRef>
          </tx>
          <spPr>
            <a:solidFill xmlns:a="http://schemas.openxmlformats.org/drawingml/2006/main">
              <a:srgbClr val="FF22C55E"/>
            </a:solidFill>
            <a:ln xmlns:a="http://schemas.openxmlformats.org/drawingml/2006/main">
              <a:prstDash val="solid"/>
            </a:ln>
          </spPr>
          <cat>
            <numRef>
              <f>'Dashboard'!$J$12:$J$16</f>
            </numRef>
          </cat>
          <val>
            <numRef>
              <f>'Dashboard'!$T$12:$T$16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2</col>
      <colOff>0</colOff>
      <row>10</row>
      <rowOff>0</rowOff>
    </from>
    <ext cx="504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10</row>
      <rowOff>0</rowOff>
    </from>
    <ext cx="504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29</row>
      <rowOff>0</rowOff>
    </from>
    <ext cx="504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5</col>
      <colOff>0</colOff>
      <row>29</row>
      <rowOff>0</rowOff>
    </from>
    <ext cx="504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3B82F6"/>
    <outlinePr summaryBelow="1" summaryRight="1"/>
    <pageSetUpPr/>
  </sheetPr>
  <dimension ref="A1:Y74"/>
  <sheetViews>
    <sheetView showGridLines="0" workbookViewId="0">
      <selection activeCell="A1" sqref="A1"/>
    </sheetView>
  </sheetViews>
  <sheetFormatPr baseColWidth="8" defaultRowHeight="15"/>
  <cols>
    <col width="1.5" customWidth="1" min="1" max="1"/>
    <col width="2" customWidth="1" min="2" max="2"/>
    <col width="20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 ht="6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</row>
    <row r="2" ht="42" customHeight="1">
      <c r="A2" s="1" t="n"/>
      <c r="B2" s="1" t="n"/>
      <c r="C2" s="2" t="inlineStr">
        <is>
          <t xml:space="preserve">  📊  Tata Consultancy Services Limited  (TCS.NS)</t>
        </is>
      </c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</row>
    <row r="3" ht="20" customHeight="1">
      <c r="A3" s="1" t="n"/>
      <c r="B3" s="1" t="n"/>
      <c r="C3" s="3" t="inlineStr">
        <is>
          <t xml:space="preserve">  Financial Intelligence Dashboard  ·  Currency: INR millions  ·  FinIQ v5  ·  Yahoo Finance</t>
        </is>
      </c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</row>
    <row r="4" ht="10" customHeight="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</row>
    <row r="5" ht="7" customHeight="1">
      <c r="A5" s="1" t="n"/>
      <c r="B5" s="1" t="n"/>
      <c r="C5" s="4" t="n"/>
      <c r="D5" s="5" t="n"/>
      <c r="E5" s="6" t="n"/>
      <c r="F5" s="7" t="n"/>
      <c r="G5" s="8" t="n"/>
      <c r="H5" s="9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</row>
    <row r="6" ht="34" customHeight="1">
      <c r="A6" s="1" t="n"/>
      <c r="B6" s="1" t="n"/>
      <c r="C6" s="10" t="inlineStr">
        <is>
          <t>₹ 2670B</t>
        </is>
      </c>
      <c r="D6" s="10" t="inlineStr">
        <is>
          <t>18.4%</t>
        </is>
      </c>
      <c r="E6" s="10" t="inlineStr">
        <is>
          <t>45.9%</t>
        </is>
      </c>
      <c r="F6" s="10" t="inlineStr">
        <is>
          <t>18.0%</t>
        </is>
      </c>
      <c r="G6" s="10" t="inlineStr">
        <is>
          <t>9.63</t>
        </is>
      </c>
      <c r="H6" s="10" t="inlineStr">
        <is>
          <t>0.105x</t>
        </is>
      </c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</row>
    <row r="7" ht="18" customHeight="1">
      <c r="A7" s="1" t="n"/>
      <c r="B7" s="1" t="n"/>
      <c r="C7" s="11" t="inlineStr">
        <is>
          <t>Revenue (Latest)</t>
        </is>
      </c>
      <c r="D7" s="11" t="inlineStr">
        <is>
          <t>Net Margin</t>
        </is>
      </c>
      <c r="E7" s="11" t="inlineStr">
        <is>
          <t>Return on Equity</t>
        </is>
      </c>
      <c r="F7" s="11" t="inlineStr">
        <is>
          <t>FCF Margin</t>
        </is>
      </c>
      <c r="G7" s="11" t="inlineStr">
        <is>
          <t>Altman Z-Score</t>
        </is>
      </c>
      <c r="H7" s="11" t="inlineStr">
        <is>
          <t>D/E Ratio</t>
        </is>
      </c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</row>
    <row r="8" ht="16" customHeight="1">
      <c r="A8" s="1" t="n"/>
      <c r="B8" s="1" t="n"/>
      <c r="C8" s="12" t="inlineStr">
        <is>
          <t>FY2026</t>
        </is>
      </c>
      <c r="D8" s="13" t="inlineStr">
        <is>
          <t>Bottom-line</t>
        </is>
      </c>
      <c r="E8" s="14" t="inlineStr">
        <is>
          <t>Shareholder value</t>
        </is>
      </c>
      <c r="F8" s="15" t="inlineStr">
        <is>
          <t>Cash generation</t>
        </is>
      </c>
      <c r="G8" s="16" t="inlineStr">
        <is>
          <t>Safe Zone</t>
        </is>
      </c>
      <c r="H8" s="17" t="inlineStr">
        <is>
          <t>Low leverage</t>
        </is>
      </c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</row>
    <row r="9" ht="10" customHeight="1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</row>
    <row r="10" ht="22" customHeight="1">
      <c r="A10" s="1" t="n"/>
      <c r="B10" s="1" t="n"/>
      <c r="C10" s="18" t="inlineStr">
        <is>
          <t>💰  Revenue &amp; Net Income (₹ M)</t>
        </is>
      </c>
      <c r="F10" s="19" t="inlineStr">
        <is>
          <t>📈  Profit Margins (%)</t>
        </is>
      </c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</row>
    <row r="11" ht="18" customHeight="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inlineStr">
        <is>
          <t>Year</t>
        </is>
      </c>
      <c r="K11" s="1" t="inlineStr">
        <is>
          <t>Revenue</t>
        </is>
      </c>
      <c r="L11" s="1" t="inlineStr">
        <is>
          <t>NetIncome</t>
        </is>
      </c>
      <c r="M11" s="1" t="inlineStr">
        <is>
          <t>GrossProfit</t>
        </is>
      </c>
      <c r="N11" s="1" t="inlineStr">
        <is>
          <t>GrMarg%</t>
        </is>
      </c>
      <c r="O11" s="1" t="inlineStr">
        <is>
          <t>NetMarg%</t>
        </is>
      </c>
      <c r="P11" s="1" t="inlineStr">
        <is>
          <t>EBITDAMarg%</t>
        </is>
      </c>
      <c r="Q11" s="1" t="inlineStr">
        <is>
          <t>OpCF</t>
        </is>
      </c>
      <c r="R11" s="1" t="inlineStr">
        <is>
          <t>FCF</t>
        </is>
      </c>
      <c r="S11" s="1" t="inlineStr">
        <is>
          <t>TotalDebt</t>
        </is>
      </c>
      <c r="T11" s="1" t="inlineStr">
        <is>
          <t>Equity</t>
        </is>
      </c>
      <c r="U11" s="1" t="inlineStr">
        <is>
          <t>YoY%</t>
        </is>
      </c>
      <c r="V11" s="1" t="n"/>
      <c r="W11" s="1" t="n"/>
      <c r="X11" s="1" t="n"/>
      <c r="Y11" s="1" t="n"/>
    </row>
    <row r="12" ht="18" customHeight="1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>
        <v>2022</v>
      </c>
      <c r="K12" s="1" t="n">
        <v/>
      </c>
      <c r="L12" s="1" t="n">
        <v/>
      </c>
      <c r="M12" s="1" t="n">
        <v/>
      </c>
      <c r="N12" s="1" t="n">
        <v/>
      </c>
      <c r="O12" s="1" t="n">
        <v/>
      </c>
      <c r="P12" s="1" t="n">
        <v/>
      </c>
      <c r="Q12" s="1" t="n">
        <v/>
      </c>
      <c r="R12" s="1" t="n">
        <v/>
      </c>
      <c r="S12" s="1" t="n">
        <v/>
      </c>
      <c r="T12" s="1" t="n">
        <v/>
      </c>
      <c r="U12" s="1" t="n"/>
      <c r="V12" s="1" t="n"/>
      <c r="W12" s="1" t="n"/>
      <c r="X12" s="1" t="n"/>
      <c r="Y12" s="1" t="n"/>
    </row>
    <row r="13" ht="18" customHeight="1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>
        <v>2023</v>
      </c>
      <c r="K13" s="1" t="n">
        <v>2254580</v>
      </c>
      <c r="L13" s="1" t="n">
        <v>421470</v>
      </c>
      <c r="M13" s="1" t="n">
        <v>1056990</v>
      </c>
      <c r="N13" s="1" t="n">
        <v>46.9</v>
      </c>
      <c r="O13" s="1" t="n">
        <v>18.7</v>
      </c>
      <c r="P13" s="1" t="n">
        <v>27.8</v>
      </c>
      <c r="Q13" s="1" t="n">
        <v>419650</v>
      </c>
      <c r="R13" s="1" t="n">
        <v>388650</v>
      </c>
      <c r="S13" s="1" t="n">
        <v>76880</v>
      </c>
      <c r="T13" s="1" t="n">
        <v>904240</v>
      </c>
      <c r="U13" s="1" t="n">
        <v/>
      </c>
      <c r="V13" s="1" t="n"/>
      <c r="W13" s="1" t="n"/>
      <c r="X13" s="1" t="n"/>
      <c r="Y13" s="1" t="n"/>
    </row>
    <row r="14" ht="18" customHeight="1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>
        <v>2024</v>
      </c>
      <c r="K14" s="1" t="n">
        <v>2408930</v>
      </c>
      <c r="L14" s="1" t="n">
        <v>459080</v>
      </c>
      <c r="M14" s="1" t="n">
        <v>1080220</v>
      </c>
      <c r="N14" s="1" t="n">
        <v>44.8</v>
      </c>
      <c r="O14" s="1" t="n">
        <v>19.1</v>
      </c>
      <c r="P14" s="1" t="n">
        <v>28.1</v>
      </c>
      <c r="Q14" s="1" t="n">
        <v>443380</v>
      </c>
      <c r="R14" s="1" t="n">
        <v>416640</v>
      </c>
      <c r="S14" s="1" t="n">
        <v>80210</v>
      </c>
      <c r="T14" s="1" t="n">
        <v>904890</v>
      </c>
      <c r="U14" s="1" t="n">
        <v>6.8</v>
      </c>
      <c r="V14" s="1" t="n"/>
      <c r="W14" s="1" t="n"/>
      <c r="X14" s="1" t="n"/>
      <c r="Y14" s="1" t="n"/>
    </row>
    <row r="15" ht="18" customHeight="1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>
        <v>2025</v>
      </c>
      <c r="K15" s="1" t="n">
        <v>2553240</v>
      </c>
      <c r="L15" s="1" t="n">
        <v>485530</v>
      </c>
      <c r="M15" s="1" t="n">
        <v>1096410</v>
      </c>
      <c r="N15" s="1" t="n">
        <v>42.9</v>
      </c>
      <c r="O15" s="1" t="n">
        <v>19</v>
      </c>
      <c r="P15" s="1" t="n">
        <v>28</v>
      </c>
      <c r="Q15" s="1" t="n">
        <v>489080</v>
      </c>
      <c r="R15" s="1" t="n">
        <v>449710</v>
      </c>
      <c r="S15" s="1" t="n">
        <v>93920</v>
      </c>
      <c r="T15" s="1" t="n">
        <v>947560</v>
      </c>
      <c r="U15" s="1" t="n">
        <v>6</v>
      </c>
      <c r="V15" s="1" t="n"/>
      <c r="W15" s="1" t="n"/>
      <c r="X15" s="1" t="n"/>
      <c r="Y15" s="1" t="n"/>
    </row>
    <row r="16" ht="18" customHeight="1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>
        <v>2026</v>
      </c>
      <c r="K16" s="1" t="n">
        <v>2670210</v>
      </c>
      <c r="L16" s="1" t="n">
        <v>492100</v>
      </c>
      <c r="M16" s="1" t="n">
        <v>1204180</v>
      </c>
      <c r="N16" s="1" t="n">
        <v>45.1</v>
      </c>
      <c r="O16" s="1" t="n">
        <v>18.4</v>
      </c>
      <c r="P16" s="1" t="n">
        <v>27.1</v>
      </c>
      <c r="Q16" s="1" t="n">
        <v>520940</v>
      </c>
      <c r="R16" s="1" t="n">
        <v>479480</v>
      </c>
      <c r="S16" s="1" t="n">
        <v>112830</v>
      </c>
      <c r="T16" s="1" t="n">
        <v>1072400</v>
      </c>
      <c r="U16" s="1" t="n">
        <v>4.6</v>
      </c>
      <c r="V16" s="1" t="n"/>
      <c r="W16" s="1" t="n"/>
      <c r="X16" s="1" t="n"/>
      <c r="Y16" s="1" t="n"/>
    </row>
    <row r="17" ht="18" customHeight="1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</row>
    <row r="18" ht="18" customHeight="1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</row>
    <row r="19" ht="18" customHeight="1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</row>
    <row r="20" ht="18" customHeight="1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</row>
    <row r="21" ht="18" customHeight="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</row>
    <row r="22" ht="18" customHeight="1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</row>
    <row r="23" ht="18" customHeight="1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</row>
    <row r="24" ht="18" customHeight="1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</row>
    <row r="25" ht="18" customHeight="1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</row>
    <row r="26" ht="18" customHeight="1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</row>
    <row r="27" ht="18" customHeight="1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</row>
    <row r="28" ht="18" customHeight="1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</row>
    <row r="29" ht="22" customHeight="1">
      <c r="A29" s="1" t="n"/>
      <c r="B29" s="1" t="n"/>
      <c r="C29" s="20" t="inlineStr">
        <is>
          <t>💵  Cash Flow — Op CF vs FCF (₹ M)</t>
        </is>
      </c>
      <c r="F29" s="21" t="inlineStr">
        <is>
          <t>🏦  Capital Structure (₹ M)</t>
        </is>
      </c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</row>
    <row r="30" ht="18" customHeight="1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</row>
    <row r="31" ht="18" customHeight="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</row>
    <row r="32" ht="18" customHeight="1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</row>
    <row r="33" ht="18" customHeight="1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</row>
    <row r="34" ht="18" customHeight="1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</row>
    <row r="35" ht="18" customHeight="1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</row>
    <row r="36" ht="18" customHeigh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</row>
    <row r="37" ht="18" customHeight="1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</row>
    <row r="38" ht="18" customHeight="1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</row>
    <row r="39" ht="18" customHeight="1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</row>
    <row r="40" ht="18" customHeigh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</row>
    <row r="41" ht="18" customHeight="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</row>
    <row r="42" ht="18" customHeight="1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</row>
    <row r="43" ht="18" customHeigh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</row>
    <row r="44" ht="18" customHeight="1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</row>
    <row r="45" ht="18" customHeigh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</row>
    <row r="46" ht="18" customHeigh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</row>
    <row r="47" ht="18" customHeight="1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</row>
    <row r="48" ht="22" customHeight="1">
      <c r="A48" s="1" t="n"/>
      <c r="B48" s="1" t="n"/>
      <c r="C48" s="22" t="inlineStr">
        <is>
          <t>⚠️  Risk Scorecard</t>
        </is>
      </c>
      <c r="F48" s="18" t="inlineStr">
        <is>
          <t>📐  Key Ratios</t>
        </is>
      </c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</row>
    <row r="49" ht="22" customHeight="1">
      <c r="A49" s="1" t="n"/>
      <c r="B49" s="1" t="n"/>
      <c r="C49" s="23" t="inlineStr">
        <is>
          <t>Altman Z-Score</t>
        </is>
      </c>
      <c r="D49" s="24" t="inlineStr">
        <is>
          <t>9.633</t>
        </is>
      </c>
      <c r="E49" s="25" t="inlineStr">
        <is>
          <t>Safe Zone</t>
        </is>
      </c>
      <c r="G49" s="26" t="inlineStr">
        <is>
          <t>Gross Margin %</t>
        </is>
      </c>
      <c r="H49" s="27" t="inlineStr">
        <is>
          <t>45.1%</t>
        </is>
      </c>
      <c r="I49" s="28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</row>
    <row r="50" ht="22" customHeight="1">
      <c r="A50" s="1" t="n"/>
      <c r="B50" s="1" t="n"/>
      <c r="C50" s="29" t="inlineStr">
        <is>
          <t>Beneish M-Score</t>
        </is>
      </c>
      <c r="D50" s="30" t="inlineStr">
        <is>
          <t>-1.749</t>
        </is>
      </c>
      <c r="E50" s="31" t="inlineStr">
        <is>
          <t>Possible Manipulation</t>
        </is>
      </c>
      <c r="G50" s="32" t="inlineStr">
        <is>
          <t>Net Margin %</t>
        </is>
      </c>
      <c r="H50" s="33" t="inlineStr">
        <is>
          <t>18.4%</t>
        </is>
      </c>
      <c r="I50" s="34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</row>
    <row r="51" ht="22" customHeight="1">
      <c r="A51" s="1" t="n"/>
      <c r="B51" s="1" t="n"/>
      <c r="C51" s="23" t="inlineStr">
        <is>
          <t>Current Ratio</t>
        </is>
      </c>
      <c r="D51" s="24" t="inlineStr">
        <is>
          <t>2.228x</t>
        </is>
      </c>
      <c r="E51" s="25" t="inlineStr">
        <is>
          <t>Good liquidity</t>
        </is>
      </c>
      <c r="G51" s="26" t="inlineStr">
        <is>
          <t>ROE %</t>
        </is>
      </c>
      <c r="H51" s="24" t="inlineStr">
        <is>
          <t>45.9%</t>
        </is>
      </c>
      <c r="I51" s="28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</row>
    <row r="52" ht="22" customHeight="1">
      <c r="A52" s="1" t="n"/>
      <c r="B52" s="1" t="n"/>
      <c r="C52" s="29" t="inlineStr">
        <is>
          <t>D/E Ratio</t>
        </is>
      </c>
      <c r="D52" s="35" t="inlineStr">
        <is>
          <t>0.105x</t>
        </is>
      </c>
      <c r="E52" s="36" t="inlineStr">
        <is>
          <t>Low leverage</t>
        </is>
      </c>
      <c r="G52" s="32" t="inlineStr">
        <is>
          <t>ROA %</t>
        </is>
      </c>
      <c r="H52" s="35" t="inlineStr">
        <is>
          <t>27.0%</t>
        </is>
      </c>
      <c r="I52" s="34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</row>
    <row r="53" ht="22" customHeight="1">
      <c r="A53" s="1" t="n"/>
      <c r="B53" s="1" t="n"/>
      <c r="C53" s="23" t="inlineStr">
        <is>
          <t>Graham Number</t>
        </is>
      </c>
      <c r="D53" s="37" t="inlineStr">
        <is>
          <t>₹ 952</t>
        </is>
      </c>
      <c r="E53" s="38" t="inlineStr">
        <is>
          <t>Intrinsic value</t>
        </is>
      </c>
      <c r="G53" s="26" t="inlineStr">
        <is>
          <t>FCF Margin %</t>
        </is>
      </c>
      <c r="H53" s="37" t="inlineStr">
        <is>
          <t>18.0%</t>
        </is>
      </c>
      <c r="I53" s="28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</row>
    <row r="54" ht="18" customHeight="1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</row>
    <row r="55" ht="18" customHeight="1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</row>
    <row r="56" ht="18" customHeight="1">
      <c r="A56" s="1" t="n"/>
      <c r="B56" s="1" t="n"/>
      <c r="C56" s="39" t="inlineStr">
        <is>
          <t xml:space="preserve">  FinIQ v5  ·  Gemini 2.0 Flash + yfinance  ·  🇮🇳 Built for Indian markets  ·  Democratising financial intelligence</t>
        </is>
      </c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</row>
    <row r="57" ht="18" customHeight="1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</row>
    <row r="58" ht="18" customHeight="1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</row>
    <row r="59" ht="18" customHeight="1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</row>
    <row r="60" ht="18" customHeight="1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</row>
    <row r="61" ht="18" customHeight="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</row>
    <row r="62" ht="18" customHeight="1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</row>
    <row r="63" ht="18" customHeight="1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</row>
    <row r="64" ht="18" customHeight="1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</row>
    <row r="65" ht="18" customHeight="1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</row>
    <row r="66" ht="18" customHeight="1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</row>
    <row r="67" ht="18" customHeight="1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</row>
    <row r="68" ht="18" customHeight="1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</row>
    <row r="69" ht="18" customHeight="1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</row>
    <row r="70" ht="18" customHeight="1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</row>
    <row r="71" ht="18" customHeight="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</row>
    <row r="72" ht="18" customHeight="1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</row>
    <row r="73" ht="18" customHeight="1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</row>
    <row r="74" ht="18" customHeight="1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</row>
  </sheetData>
  <mergeCells count="14">
    <mergeCell ref="E50:F50"/>
    <mergeCell ref="F10:H10"/>
    <mergeCell ref="E51:F51"/>
    <mergeCell ref="C3:I3"/>
    <mergeCell ref="C56:I56"/>
    <mergeCell ref="E49:F49"/>
    <mergeCell ref="C48:E48"/>
    <mergeCell ref="E53:F53"/>
    <mergeCell ref="E52:F52"/>
    <mergeCell ref="C2:I2"/>
    <mergeCell ref="C29:E29"/>
    <mergeCell ref="F48:H48"/>
    <mergeCell ref="F29:H29"/>
    <mergeCell ref="C10:E10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14B8A6"/>
    <outlinePr summaryBelow="1" summaryRight="1"/>
    <pageSetUpPr/>
  </sheetPr>
  <dimension ref="A1:N34"/>
  <sheetViews>
    <sheetView showGridLines="0" workbookViewId="0">
      <selection activeCell="A1" sqref="A1"/>
    </sheetView>
  </sheetViews>
  <sheetFormatPr baseColWidth="8" defaultRowHeight="15"/>
  <cols>
    <col width="1.5" customWidth="1" min="1" max="1"/>
    <col width="26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 ht="34" customHeight="1">
      <c r="A1" s="1" t="n"/>
      <c r="B1" s="40" t="inlineStr">
        <is>
          <t xml:space="preserve">  Tata Consultancy Services Limited — Annual Financials  (INR Millions)</t>
        </is>
      </c>
      <c r="I1" s="1" t="n"/>
      <c r="J1" s="1" t="n"/>
      <c r="K1" s="1" t="n"/>
      <c r="L1" s="1" t="n"/>
      <c r="M1" s="1" t="n"/>
      <c r="N1" s="1" t="n"/>
    </row>
    <row r="2" ht="24" customHeight="1">
      <c r="A2" s="1" t="n"/>
      <c r="B2" s="1" t="n"/>
      <c r="C2" s="41" t="inlineStr">
        <is>
          <t>2022</t>
        </is>
      </c>
      <c r="D2" s="41" t="inlineStr">
        <is>
          <t>2023</t>
        </is>
      </c>
      <c r="E2" s="41" t="inlineStr">
        <is>
          <t>2024</t>
        </is>
      </c>
      <c r="F2" s="41" t="inlineStr">
        <is>
          <t>2025</t>
        </is>
      </c>
      <c r="G2" s="41" t="inlineStr">
        <is>
          <t>2026</t>
        </is>
      </c>
      <c r="H2" s="1" t="n"/>
      <c r="I2" s="1" t="n"/>
      <c r="J2" s="1" t="n"/>
      <c r="K2" s="1" t="n"/>
      <c r="L2" s="1" t="n"/>
      <c r="M2" s="1" t="n"/>
      <c r="N2" s="1" t="n"/>
    </row>
    <row r="3" ht="21" customHeight="1">
      <c r="A3" s="1" t="n"/>
      <c r="B3" s="42" t="inlineStr">
        <is>
          <t xml:space="preserve">  INCOME STATEMENT</t>
        </is>
      </c>
      <c r="H3" s="1" t="n"/>
      <c r="I3" s="1" t="n"/>
      <c r="J3" s="1" t="n"/>
      <c r="K3" s="1" t="n"/>
      <c r="L3" s="1" t="n"/>
      <c r="M3" s="1" t="n"/>
      <c r="N3" s="1" t="n"/>
    </row>
    <row r="4" ht="21" customHeight="1">
      <c r="A4" s="1" t="n"/>
      <c r="B4" s="32" t="inlineStr">
        <is>
          <t xml:space="preserve">  Revenue</t>
        </is>
      </c>
      <c r="C4" s="43" t="n">
        <v/>
      </c>
      <c r="D4" s="43" t="n">
        <v>2254580</v>
      </c>
      <c r="E4" s="43" t="n">
        <v>2408930</v>
      </c>
      <c r="F4" s="43" t="n">
        <v>2553240</v>
      </c>
      <c r="G4" s="43" t="n">
        <v>2670210</v>
      </c>
      <c r="H4" s="1" t="n"/>
      <c r="I4" s="1" t="n"/>
      <c r="J4" s="1" t="n"/>
      <c r="K4" s="1" t="n"/>
      <c r="L4" s="1" t="n"/>
      <c r="M4" s="1" t="n"/>
      <c r="N4" s="1" t="n"/>
    </row>
    <row r="5" ht="21" customHeight="1">
      <c r="A5" s="1" t="n"/>
      <c r="B5" s="44" t="inlineStr">
        <is>
          <t xml:space="preserve">  Gross Profit</t>
        </is>
      </c>
      <c r="C5" s="45" t="n">
        <v/>
      </c>
      <c r="D5" s="45" t="n">
        <v>1056990</v>
      </c>
      <c r="E5" s="45" t="n">
        <v>1080220</v>
      </c>
      <c r="F5" s="45" t="n">
        <v>1096410</v>
      </c>
      <c r="G5" s="45" t="n">
        <v>1204180</v>
      </c>
      <c r="H5" s="1" t="n"/>
      <c r="I5" s="1" t="n"/>
      <c r="J5" s="1" t="n"/>
      <c r="K5" s="1" t="n"/>
      <c r="L5" s="1" t="n"/>
      <c r="M5" s="1" t="n"/>
      <c r="N5" s="1" t="n"/>
    </row>
    <row r="6" ht="21" customHeight="1">
      <c r="A6" s="1" t="n"/>
      <c r="B6" s="32" t="inlineStr">
        <is>
          <t xml:space="preserve">  EBITDA</t>
        </is>
      </c>
      <c r="C6" s="43" t="n">
        <v/>
      </c>
      <c r="D6" s="43" t="n">
        <v>627080</v>
      </c>
      <c r="E6" s="43" t="n">
        <v>677600</v>
      </c>
      <c r="F6" s="43" t="n">
        <v>713690</v>
      </c>
      <c r="G6" s="43" t="n">
        <v>722740</v>
      </c>
      <c r="H6" s="1" t="n"/>
      <c r="I6" s="1" t="n"/>
      <c r="J6" s="1" t="n"/>
      <c r="K6" s="1" t="n"/>
      <c r="L6" s="1" t="n"/>
      <c r="M6" s="1" t="n"/>
      <c r="N6" s="1" t="n"/>
    </row>
    <row r="7" ht="21" customHeight="1">
      <c r="A7" s="1" t="n"/>
      <c r="B7" s="44" t="inlineStr">
        <is>
          <t xml:space="preserve">  Net Income</t>
        </is>
      </c>
      <c r="C7" s="45" t="n">
        <v/>
      </c>
      <c r="D7" s="45" t="n">
        <v>421470</v>
      </c>
      <c r="E7" s="45" t="n">
        <v>459080</v>
      </c>
      <c r="F7" s="45" t="n">
        <v>485530</v>
      </c>
      <c r="G7" s="45" t="n">
        <v>492100</v>
      </c>
      <c r="H7" s="1" t="n"/>
      <c r="I7" s="1" t="n"/>
      <c r="J7" s="1" t="n"/>
      <c r="K7" s="1" t="n"/>
      <c r="L7" s="1" t="n"/>
      <c r="M7" s="1" t="n"/>
      <c r="N7" s="1" t="n"/>
    </row>
    <row r="8" ht="21" customHeight="1">
      <c r="A8" s="1" t="n"/>
      <c r="B8" s="42" t="inlineStr">
        <is>
          <t xml:space="preserve">  MARGINS</t>
        </is>
      </c>
      <c r="H8" s="1" t="n"/>
      <c r="I8" s="1" t="n"/>
      <c r="J8" s="1" t="n"/>
      <c r="K8" s="1" t="n"/>
      <c r="L8" s="1" t="n"/>
      <c r="M8" s="1" t="n"/>
      <c r="N8" s="1" t="n"/>
    </row>
    <row r="9" ht="21" customHeight="1">
      <c r="A9" s="1" t="n"/>
      <c r="B9" s="44" t="inlineStr">
        <is>
          <t xml:space="preserve">  Gross Margin %</t>
        </is>
      </c>
      <c r="C9" s="46" t="n">
        <v/>
      </c>
      <c r="D9" s="46" t="n">
        <v>0.469</v>
      </c>
      <c r="E9" s="46" t="n">
        <v>0.448</v>
      </c>
      <c r="F9" s="46" t="n">
        <v>0.429</v>
      </c>
      <c r="G9" s="46" t="n">
        <v>0.451</v>
      </c>
      <c r="H9" s="1" t="n"/>
      <c r="I9" s="1" t="n"/>
      <c r="J9" s="1" t="n"/>
      <c r="K9" s="1" t="n"/>
      <c r="L9" s="1" t="n"/>
      <c r="M9" s="1" t="n"/>
      <c r="N9" s="1" t="n"/>
    </row>
    <row r="10" ht="21" customHeight="1">
      <c r="A10" s="1" t="n"/>
      <c r="B10" s="32" t="inlineStr">
        <is>
          <t xml:space="preserve">  Net Margin %</t>
        </is>
      </c>
      <c r="C10" s="47" t="n">
        <v/>
      </c>
      <c r="D10" s="47" t="n">
        <v>0.187</v>
      </c>
      <c r="E10" s="47" t="n">
        <v>0.191</v>
      </c>
      <c r="F10" s="47" t="n">
        <v>0.19</v>
      </c>
      <c r="G10" s="47" t="n">
        <v>0.184</v>
      </c>
      <c r="H10" s="1" t="n"/>
      <c r="I10" s="1" t="n"/>
      <c r="J10" s="1" t="n"/>
      <c r="K10" s="1" t="n"/>
      <c r="L10" s="1" t="n"/>
      <c r="M10" s="1" t="n"/>
      <c r="N10" s="1" t="n"/>
    </row>
    <row r="11" ht="21" customHeight="1">
      <c r="A11" s="1" t="n"/>
      <c r="B11" s="44" t="inlineStr">
        <is>
          <t xml:space="preserve">  EBITDA Margin %</t>
        </is>
      </c>
      <c r="C11" s="46" t="n">
        <v/>
      </c>
      <c r="D11" s="46" t="n">
        <v>0.278</v>
      </c>
      <c r="E11" s="46" t="n">
        <v>0.281</v>
      </c>
      <c r="F11" s="46" t="n">
        <v>0.28</v>
      </c>
      <c r="G11" s="46" t="n">
        <v>0.271</v>
      </c>
      <c r="H11" s="1" t="n"/>
      <c r="I11" s="1" t="n"/>
      <c r="J11" s="1" t="n"/>
      <c r="K11" s="1" t="n"/>
      <c r="L11" s="1" t="n"/>
      <c r="M11" s="1" t="n"/>
      <c r="N11" s="1" t="n"/>
    </row>
    <row r="12" ht="21" customHeight="1">
      <c r="A12" s="1" t="n"/>
      <c r="B12" s="32" t="inlineStr">
        <is>
          <t xml:space="preserve">  YoY Revenue Growth%</t>
        </is>
      </c>
      <c r="C12" s="48" t="inlineStr">
        <is>
          <t>—</t>
        </is>
      </c>
      <c r="D12" s="49" t="n">
        <v/>
      </c>
      <c r="E12" s="50" t="n">
        <v>0.068</v>
      </c>
      <c r="F12" s="50" t="n">
        <v>0.06</v>
      </c>
      <c r="G12" s="50" t="n">
        <v>0.046</v>
      </c>
      <c r="H12" s="1" t="n"/>
      <c r="I12" s="1" t="n"/>
      <c r="J12" s="1" t="n"/>
      <c r="K12" s="1" t="n"/>
      <c r="L12" s="1" t="n"/>
      <c r="M12" s="1" t="n"/>
      <c r="N12" s="1" t="n"/>
    </row>
    <row r="13" ht="21" customHeight="1">
      <c r="A13" s="1" t="n"/>
      <c r="B13" s="42" t="inlineStr">
        <is>
          <t xml:space="preserve">  CASH FLOW</t>
        </is>
      </c>
      <c r="H13" s="1" t="n"/>
      <c r="I13" s="1" t="n"/>
      <c r="J13" s="1" t="n"/>
      <c r="K13" s="1" t="n"/>
      <c r="L13" s="1" t="n"/>
      <c r="M13" s="1" t="n"/>
      <c r="N13" s="1" t="n"/>
    </row>
    <row r="14" ht="21" customHeight="1">
      <c r="A14" s="1" t="n"/>
      <c r="B14" s="32" t="inlineStr">
        <is>
          <t xml:space="preserve">  Operating Cash Flow</t>
        </is>
      </c>
      <c r="C14" s="43" t="n">
        <v/>
      </c>
      <c r="D14" s="43" t="n">
        <v>419650</v>
      </c>
      <c r="E14" s="43" t="n">
        <v>443380</v>
      </c>
      <c r="F14" s="43" t="n">
        <v>489080</v>
      </c>
      <c r="G14" s="43" t="n">
        <v>520940</v>
      </c>
      <c r="H14" s="1" t="n"/>
      <c r="I14" s="1" t="n"/>
      <c r="J14" s="1" t="n"/>
      <c r="K14" s="1" t="n"/>
      <c r="L14" s="1" t="n"/>
      <c r="M14" s="1" t="n"/>
      <c r="N14" s="1" t="n"/>
    </row>
    <row r="15" ht="21" customHeight="1">
      <c r="A15" s="1" t="n"/>
      <c r="B15" s="44" t="inlineStr">
        <is>
          <t xml:space="preserve">  Free Cash Flow</t>
        </is>
      </c>
      <c r="C15" s="45" t="n">
        <v/>
      </c>
      <c r="D15" s="45" t="n">
        <v>388650</v>
      </c>
      <c r="E15" s="45" t="n">
        <v>416640</v>
      </c>
      <c r="F15" s="45" t="n">
        <v>449710</v>
      </c>
      <c r="G15" s="45" t="n">
        <v>479480</v>
      </c>
      <c r="H15" s="1" t="n"/>
      <c r="I15" s="1" t="n"/>
      <c r="J15" s="1" t="n"/>
      <c r="K15" s="1" t="n"/>
      <c r="L15" s="1" t="n"/>
      <c r="M15" s="1" t="n"/>
      <c r="N15" s="1" t="n"/>
    </row>
    <row r="16" ht="21" customHeight="1">
      <c r="A16" s="1" t="n"/>
      <c r="B16" s="42" t="inlineStr">
        <is>
          <t xml:space="preserve">  BALANCE SHEET</t>
        </is>
      </c>
      <c r="H16" s="1" t="n"/>
      <c r="I16" s="1" t="n"/>
      <c r="J16" s="1" t="n"/>
      <c r="K16" s="1" t="n"/>
      <c r="L16" s="1" t="n"/>
      <c r="M16" s="1" t="n"/>
      <c r="N16" s="1" t="n"/>
    </row>
    <row r="17" ht="21" customHeight="1">
      <c r="A17" s="1" t="n"/>
      <c r="B17" s="44" t="inlineStr">
        <is>
          <t xml:space="preserve">  Total Assets</t>
        </is>
      </c>
      <c r="C17" s="45" t="n">
        <v/>
      </c>
      <c r="D17" s="45" t="n">
        <v>1436510</v>
      </c>
      <c r="E17" s="45" t="n">
        <v>1464490</v>
      </c>
      <c r="F17" s="45" t="n">
        <v>1596290</v>
      </c>
      <c r="G17" s="45" t="n">
        <v>1823720</v>
      </c>
      <c r="H17" s="1" t="n"/>
      <c r="I17" s="1" t="n"/>
      <c r="J17" s="1" t="n"/>
      <c r="K17" s="1" t="n"/>
      <c r="L17" s="1" t="n"/>
      <c r="M17" s="1" t="n"/>
      <c r="N17" s="1" t="n"/>
    </row>
    <row r="18" ht="21" customHeight="1">
      <c r="A18" s="1" t="n"/>
      <c r="B18" s="32" t="inlineStr">
        <is>
          <t xml:space="preserve">  Total Debt</t>
        </is>
      </c>
      <c r="C18" s="43" t="n">
        <v/>
      </c>
      <c r="D18" s="43" t="n">
        <v>76880</v>
      </c>
      <c r="E18" s="43" t="n">
        <v>80210</v>
      </c>
      <c r="F18" s="43" t="n">
        <v>93920</v>
      </c>
      <c r="G18" s="43" t="n">
        <v>112830</v>
      </c>
      <c r="H18" s="1" t="n"/>
      <c r="I18" s="1" t="n"/>
      <c r="J18" s="1" t="n"/>
      <c r="K18" s="1" t="n"/>
      <c r="L18" s="1" t="n"/>
      <c r="M18" s="1" t="n"/>
      <c r="N18" s="1" t="n"/>
    </row>
    <row r="19" ht="21" customHeight="1">
      <c r="A19" s="1" t="n"/>
      <c r="B19" s="44" t="inlineStr">
        <is>
          <t xml:space="preserve">  Equity</t>
        </is>
      </c>
      <c r="C19" s="45" t="n">
        <v/>
      </c>
      <c r="D19" s="45" t="n">
        <v>904240</v>
      </c>
      <c r="E19" s="45" t="n">
        <v>904890</v>
      </c>
      <c r="F19" s="45" t="n">
        <v>947560</v>
      </c>
      <c r="G19" s="45" t="n">
        <v>1072400</v>
      </c>
      <c r="H19" s="1" t="n"/>
      <c r="I19" s="1" t="n"/>
      <c r="J19" s="1" t="n"/>
      <c r="K19" s="1" t="n"/>
      <c r="L19" s="1" t="n"/>
      <c r="M19" s="1" t="n"/>
      <c r="N19" s="1" t="n"/>
    </row>
    <row r="20" ht="21" customHeight="1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</row>
    <row r="21" ht="21" customHeight="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</row>
    <row r="22" ht="21" customHeight="1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</row>
    <row r="23" ht="21" customHeight="1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</row>
    <row r="24" ht="21" customHeight="1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</row>
    <row r="25" ht="21" customHeight="1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</row>
    <row r="26" ht="21" customHeight="1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</row>
    <row r="27" ht="21" customHeight="1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</row>
    <row r="28" ht="21" customHeight="1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</row>
    <row r="29" ht="21" customHeight="1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</row>
    <row r="30" ht="21" customHeight="1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</row>
    <row r="31" ht="21" customHeight="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</row>
    <row r="32" ht="21" customHeight="1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</row>
    <row r="33" ht="21" customHeight="1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</row>
    <row r="34" ht="21" customHeight="1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</row>
  </sheetData>
  <mergeCells count="5">
    <mergeCell ref="B3:G3"/>
    <mergeCell ref="B16:G16"/>
    <mergeCell ref="B1:H1"/>
    <mergeCell ref="B8:G8"/>
    <mergeCell ref="B13:G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A78BFA"/>
    <outlinePr summaryBelow="1" summaryRight="1"/>
    <pageSetUpPr/>
  </sheetPr>
  <dimension ref="A1:G25"/>
  <sheetViews>
    <sheetView showGridLines="0" workbookViewId="0">
      <selection activeCell="A1" sqref="A1"/>
    </sheetView>
  </sheetViews>
  <sheetFormatPr baseColWidth="8" defaultRowHeight="15"/>
  <cols>
    <col width="1.5" customWidth="1" min="1" max="1"/>
    <col width="3" customWidth="1" min="2" max="2"/>
    <col width="26" customWidth="1" min="3" max="3"/>
    <col width="22" customWidth="1" min="4" max="4"/>
    <col width="3" customWidth="1" min="5" max="5"/>
    <col width="26" customWidth="1" min="6" max="6"/>
    <col width="22" customWidth="1" min="7" max="7"/>
  </cols>
  <sheetData>
    <row r="1" ht="34" customHeight="1">
      <c r="A1" s="1" t="n"/>
      <c r="B1" s="1" t="n"/>
      <c r="C1" s="40" t="inlineStr">
        <is>
          <t xml:space="preserve">  Tata Consultancy Services Limited  —  Profile &amp; Key Metrics</t>
        </is>
      </c>
    </row>
    <row r="2" ht="22" customHeight="1">
      <c r="A2" s="1" t="n"/>
      <c r="B2" s="1" t="n"/>
      <c r="C2" s="1" t="n"/>
      <c r="D2" s="1" t="n"/>
      <c r="E2" s="1" t="n"/>
      <c r="F2" s="1" t="n"/>
      <c r="G2" s="1" t="n"/>
    </row>
    <row r="3" ht="22" customHeight="1">
      <c r="A3" s="1" t="n"/>
      <c r="B3" s="1" t="n"/>
      <c r="C3" s="51" t="inlineStr">
        <is>
          <t>Company</t>
        </is>
      </c>
      <c r="D3" s="23" t="inlineStr">
        <is>
          <t>Tata Consultancy Services Limited</t>
        </is>
      </c>
      <c r="E3" s="1" t="n"/>
      <c r="F3" s="51" t="inlineStr">
        <is>
          <t>D/E Ratio</t>
        </is>
      </c>
      <c r="G3" s="52" t="inlineStr">
        <is>
          <t>0.105x</t>
        </is>
      </c>
    </row>
    <row r="4" ht="22" customHeight="1">
      <c r="A4" s="1" t="n"/>
      <c r="B4" s="1" t="n"/>
      <c r="C4" s="53" t="inlineStr">
        <is>
          <t>Ticker</t>
        </is>
      </c>
      <c r="D4" s="54" t="inlineStr">
        <is>
          <t>TCS.NS</t>
        </is>
      </c>
      <c r="E4" s="1" t="n"/>
      <c r="F4" s="53" t="inlineStr">
        <is>
          <t>FCF Margin</t>
        </is>
      </c>
      <c r="G4" s="55" t="inlineStr">
        <is>
          <t>18.0%</t>
        </is>
      </c>
    </row>
    <row r="5" ht="22" customHeight="1">
      <c r="A5" s="1" t="n"/>
      <c r="B5" s="1" t="n"/>
      <c r="C5" s="51" t="inlineStr">
        <is>
          <t>Currency</t>
        </is>
      </c>
      <c r="D5" s="23" t="inlineStr">
        <is>
          <t>INR</t>
        </is>
      </c>
      <c r="E5" s="1" t="n"/>
      <c r="F5" s="51" t="inlineStr">
        <is>
          <t>Graham Number</t>
        </is>
      </c>
      <c r="G5" s="56" t="inlineStr">
        <is>
          <t>₹ 952</t>
        </is>
      </c>
    </row>
    <row r="6" ht="22" customHeight="1">
      <c r="A6" s="1" t="n"/>
      <c r="B6" s="1" t="n"/>
      <c r="C6" s="53" t="inlineStr">
        <is>
          <t>Latest Revenue</t>
        </is>
      </c>
      <c r="D6" s="29" t="inlineStr">
        <is>
          <t>₹ 2670.2B</t>
        </is>
      </c>
      <c r="E6" s="1" t="n"/>
      <c r="F6" s="53" t="inlineStr">
        <is>
          <t>Altman Z-Score</t>
        </is>
      </c>
      <c r="G6" s="57" t="inlineStr">
        <is>
          <t>9.633</t>
        </is>
      </c>
    </row>
    <row r="7" ht="22" customHeight="1">
      <c r="A7" s="1" t="n"/>
      <c r="B7" s="1" t="n"/>
      <c r="C7" s="51" t="inlineStr">
        <is>
          <t>Gross Margin</t>
        </is>
      </c>
      <c r="D7" s="58" t="inlineStr">
        <is>
          <t>45.1%</t>
        </is>
      </c>
      <c r="E7" s="1" t="n"/>
      <c r="F7" s="51" t="inlineStr">
        <is>
          <t>Altman Zone</t>
        </is>
      </c>
      <c r="G7" s="52" t="inlineStr">
        <is>
          <t>Safe Zone</t>
        </is>
      </c>
    </row>
    <row r="8" ht="22" customHeight="1">
      <c r="A8" s="1" t="n"/>
      <c r="B8" s="1" t="n"/>
      <c r="C8" s="53" t="inlineStr">
        <is>
          <t>Net Margin</t>
        </is>
      </c>
      <c r="D8" s="59" t="inlineStr">
        <is>
          <t>18.4%</t>
        </is>
      </c>
      <c r="E8" s="1" t="n"/>
      <c r="F8" s="53" t="inlineStr">
        <is>
          <t>Beneish M</t>
        </is>
      </c>
      <c r="G8" s="60" t="inlineStr">
        <is>
          <t>-1.749</t>
        </is>
      </c>
    </row>
    <row r="9" ht="22" customHeight="1">
      <c r="A9" s="1" t="n"/>
      <c r="B9" s="1" t="n"/>
      <c r="C9" s="51" t="inlineStr">
        <is>
          <t>ROE</t>
        </is>
      </c>
      <c r="D9" s="52" t="inlineStr">
        <is>
          <t>45.9%</t>
        </is>
      </c>
      <c r="E9" s="1" t="n"/>
      <c r="F9" s="51" t="inlineStr">
        <is>
          <t>Beneish Signal</t>
        </is>
      </c>
      <c r="G9" s="61" t="inlineStr">
        <is>
          <t>Possible Manipulation</t>
        </is>
      </c>
    </row>
    <row r="10" ht="22" customHeight="1">
      <c r="A10" s="1" t="n"/>
      <c r="B10" s="1" t="n"/>
      <c r="C10" s="53" t="inlineStr">
        <is>
          <t>ROA</t>
        </is>
      </c>
      <c r="D10" s="57" t="inlineStr">
        <is>
          <t>27.0%</t>
        </is>
      </c>
      <c r="E10" s="1" t="n"/>
      <c r="F10" s="53" t="inlineStr">
        <is>
          <t>Data Source</t>
        </is>
      </c>
      <c r="G10" s="62" t="inlineStr">
        <is>
          <t>Yahoo Finance</t>
        </is>
      </c>
    </row>
    <row r="11" ht="22" customHeight="1">
      <c r="A11" s="1" t="n"/>
      <c r="B11" s="1" t="n"/>
      <c r="C11" s="51" t="inlineStr">
        <is>
          <t>Current Ratio</t>
        </is>
      </c>
      <c r="D11" s="23" t="inlineStr">
        <is>
          <t>2.228x</t>
        </is>
      </c>
      <c r="E11" s="1" t="n"/>
      <c r="F11" s="51" t="inlineStr">
        <is>
          <t>AI Model</t>
        </is>
      </c>
      <c r="G11" s="42" t="inlineStr">
        <is>
          <t>Gemini 2.0 Flash</t>
        </is>
      </c>
    </row>
    <row r="12" ht="22" customHeight="1">
      <c r="A12" s="1" t="n"/>
      <c r="B12" s="1" t="n"/>
      <c r="C12" s="1" t="n"/>
      <c r="D12" s="1" t="n"/>
      <c r="E12" s="1" t="n"/>
      <c r="F12" s="1" t="n"/>
      <c r="G12" s="1" t="n"/>
    </row>
    <row r="13" ht="22" customHeight="1">
      <c r="A13" s="1" t="n"/>
      <c r="B13" s="1" t="n"/>
      <c r="C13" s="1" t="n"/>
      <c r="D13" s="1" t="n"/>
      <c r="E13" s="1" t="n"/>
      <c r="F13" s="1" t="n"/>
      <c r="G13" s="1" t="n"/>
    </row>
    <row r="14" ht="18" customHeight="1">
      <c r="A14" s="1" t="n"/>
      <c r="B14" s="1" t="n"/>
      <c r="C14" s="39" t="inlineStr">
        <is>
          <t xml:space="preserve">  FinIQ v5  ·  🇮🇳 Democratising financial intelligence</t>
        </is>
      </c>
    </row>
    <row r="15" ht="22" customHeight="1">
      <c r="A15" s="1" t="n"/>
      <c r="B15" s="1" t="n"/>
      <c r="C15" s="1" t="n"/>
      <c r="D15" s="1" t="n"/>
      <c r="E15" s="1" t="n"/>
      <c r="F15" s="1" t="n"/>
      <c r="G15" s="1" t="n"/>
    </row>
    <row r="16" ht="22" customHeight="1">
      <c r="A16" s="1" t="n"/>
      <c r="B16" s="1" t="n"/>
      <c r="C16" s="1" t="n"/>
      <c r="D16" s="1" t="n"/>
      <c r="E16" s="1" t="n"/>
      <c r="F16" s="1" t="n"/>
      <c r="G16" s="1" t="n"/>
    </row>
    <row r="17" ht="22" customHeight="1">
      <c r="A17" s="1" t="n"/>
      <c r="B17" s="1" t="n"/>
      <c r="C17" s="1" t="n"/>
      <c r="D17" s="1" t="n"/>
      <c r="E17" s="1" t="n"/>
      <c r="F17" s="1" t="n"/>
      <c r="G17" s="1" t="n"/>
    </row>
    <row r="18" ht="22" customHeight="1">
      <c r="A18" s="1" t="n"/>
      <c r="B18" s="1" t="n"/>
      <c r="C18" s="1" t="n"/>
      <c r="D18" s="1" t="n"/>
      <c r="E18" s="1" t="n"/>
      <c r="F18" s="1" t="n"/>
      <c r="G18" s="1" t="n"/>
    </row>
    <row r="19" ht="22" customHeight="1">
      <c r="A19" s="1" t="n"/>
      <c r="B19" s="1" t="n"/>
      <c r="C19" s="1" t="n"/>
      <c r="D19" s="1" t="n"/>
      <c r="E19" s="1" t="n"/>
      <c r="F19" s="1" t="n"/>
      <c r="G19" s="1" t="n"/>
    </row>
    <row r="20" ht="22" customHeight="1">
      <c r="A20" s="1" t="n"/>
      <c r="B20" s="1" t="n"/>
      <c r="C20" s="1" t="n"/>
      <c r="D20" s="1" t="n"/>
      <c r="E20" s="1" t="n"/>
      <c r="F20" s="1" t="n"/>
      <c r="G20" s="1" t="n"/>
    </row>
    <row r="21" ht="22" customHeight="1">
      <c r="A21" s="1" t="n"/>
      <c r="B21" s="1" t="n"/>
      <c r="C21" s="1" t="n"/>
      <c r="D21" s="1" t="n"/>
      <c r="E21" s="1" t="n"/>
      <c r="F21" s="1" t="n"/>
      <c r="G21" s="1" t="n"/>
    </row>
    <row r="22" ht="22" customHeight="1">
      <c r="A22" s="1" t="n"/>
      <c r="B22" s="1" t="n"/>
      <c r="C22" s="1" t="n"/>
      <c r="D22" s="1" t="n"/>
      <c r="E22" s="1" t="n"/>
      <c r="F22" s="1" t="n"/>
      <c r="G22" s="1" t="n"/>
    </row>
    <row r="23" ht="22" customHeight="1">
      <c r="A23" s="1" t="n"/>
      <c r="B23" s="1" t="n"/>
      <c r="C23" s="1" t="n"/>
      <c r="D23" s="1" t="n"/>
      <c r="E23" s="1" t="n"/>
      <c r="F23" s="1" t="n"/>
      <c r="G23" s="1" t="n"/>
    </row>
    <row r="24" ht="22" customHeight="1">
      <c r="A24" s="1" t="n"/>
      <c r="B24" s="1" t="n"/>
      <c r="C24" s="1" t="n"/>
      <c r="D24" s="1" t="n"/>
      <c r="E24" s="1" t="n"/>
      <c r="F24" s="1" t="n"/>
      <c r="G24" s="1" t="n"/>
    </row>
    <row r="25" ht="22" customHeight="1">
      <c r="A25" s="1" t="n"/>
      <c r="B25" s="1" t="n"/>
      <c r="C25" s="1" t="n"/>
      <c r="D25" s="1" t="n"/>
      <c r="E25" s="1" t="n"/>
      <c r="F25" s="1" t="n"/>
      <c r="G25" s="1" t="n"/>
    </row>
  </sheetData>
  <mergeCells count="2">
    <mergeCell ref="C1:G1"/>
    <mergeCell ref="C14:G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2026-05-23T14:33:40Z</dcterms:created>
  <dcterms:modified xmlns:dcterms="http://purl.org/dc/terms/" xmlns:xsi="http://www.w3.org/2001/XMLSchema-instance" xsi:type="dcterms:W3CDTF">2026-05-23T14:33:40Z</dcterms:modified>
</cp:coreProperties>
</file>